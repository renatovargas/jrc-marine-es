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04"/>
  <workbookPr/>
  <mc:AlternateContent xmlns:mc="http://schemas.openxmlformats.org/markup-compatibility/2006">
    <mc:Choice Requires="x15">
      <x15ac:absPath xmlns:x15ac="http://schemas.microsoft.com/office/spreadsheetml/2010/11/ac" url="E:\pisando\Desktop\Marine Ecosystem Service Assessment\Fish Provisioning\7_Oversuse score\"/>
    </mc:Choice>
  </mc:AlternateContent>
  <xr:revisionPtr revIDLastSave="0" documentId="13_ncr:1_{F7A8F90E-2A6A-417A-8388-029F59E78464}" xr6:coauthVersionLast="36" xr6:coauthVersionMax="36" xr10:uidLastSave="{00000000-0000-0000-0000-000000000000}"/>
  <bookViews>
    <workbookView xWindow="0" yWindow="0" windowWidth="22260" windowHeight="12645" xr2:uid="{00000000-000D-0000-FFFF-FFFF00000000}"/>
  </bookViews>
  <sheets>
    <sheet name="Baltic Sea" sheetId="2" r:id="rId1"/>
    <sheet name="Total" sheetId="8" r:id="rId2"/>
    <sheet name="Black Sea" sheetId="5" r:id="rId3"/>
    <sheet name="Med Sea" sheetId="6" r:id="rId4"/>
    <sheet name="NEAO" sheetId="7" r:id="rId5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6" i="8" l="1"/>
  <c r="G6" i="8"/>
  <c r="C6" i="8"/>
  <c r="D6" i="8"/>
  <c r="E6" i="8"/>
  <c r="B6" i="8"/>
  <c r="F3" i="8"/>
  <c r="G3" i="8"/>
  <c r="F4" i="8"/>
  <c r="G4" i="8"/>
  <c r="F5" i="8"/>
  <c r="G5" i="8"/>
  <c r="G2" i="8"/>
  <c r="F2" i="8"/>
  <c r="M3" i="2"/>
  <c r="M4" i="2"/>
  <c r="M5" i="2"/>
  <c r="M6" i="2"/>
  <c r="M7" i="2"/>
  <c r="M8" i="2"/>
  <c r="M9" i="2"/>
  <c r="M2" i="2"/>
  <c r="K3" i="2" l="1"/>
  <c r="K2" i="2"/>
  <c r="L3" i="7" l="1"/>
  <c r="L4" i="7"/>
  <c r="L5" i="7"/>
  <c r="L6" i="7"/>
  <c r="L7" i="7"/>
  <c r="L8" i="7"/>
  <c r="L9" i="7"/>
  <c r="L10" i="7"/>
  <c r="L11" i="7"/>
  <c r="L2" i="7"/>
  <c r="K3" i="7"/>
  <c r="J3" i="7" s="1"/>
  <c r="K4" i="7"/>
  <c r="J4" i="7" s="1"/>
  <c r="K5" i="7"/>
  <c r="K6" i="7"/>
  <c r="J6" i="7" s="1"/>
  <c r="K7" i="7"/>
  <c r="K8" i="7"/>
  <c r="K9" i="7"/>
  <c r="K10" i="7"/>
  <c r="J10" i="7" s="1"/>
  <c r="K11" i="7"/>
  <c r="J11" i="7" s="1"/>
  <c r="K2" i="7"/>
  <c r="J2" i="7" s="1"/>
  <c r="J5" i="7"/>
  <c r="J7" i="7"/>
  <c r="J8" i="7"/>
  <c r="J9" i="7"/>
  <c r="K3" i="6"/>
  <c r="J3" i="6" s="1"/>
  <c r="L3" i="6"/>
  <c r="K4" i="6"/>
  <c r="J4" i="6" s="1"/>
  <c r="L4" i="6"/>
  <c r="K5" i="6"/>
  <c r="J5" i="6" s="1"/>
  <c r="L5" i="6"/>
  <c r="J6" i="6"/>
  <c r="K6" i="6"/>
  <c r="L6" i="6"/>
  <c r="K7" i="6"/>
  <c r="J7" i="6" s="1"/>
  <c r="L7" i="6"/>
  <c r="K8" i="6"/>
  <c r="J8" i="6" s="1"/>
  <c r="L8" i="6"/>
  <c r="J9" i="6"/>
  <c r="K9" i="6"/>
  <c r="L9" i="6"/>
  <c r="K10" i="6"/>
  <c r="J10" i="6" s="1"/>
  <c r="L10" i="6"/>
  <c r="K11" i="6"/>
  <c r="J11" i="6" s="1"/>
  <c r="L11" i="6"/>
  <c r="L2" i="6" l="1"/>
  <c r="K2" i="6"/>
  <c r="J2" i="6" s="1"/>
  <c r="L2" i="5"/>
  <c r="K2" i="5"/>
  <c r="J2" i="5" s="1"/>
  <c r="J9" i="2" l="1"/>
  <c r="J4" i="2"/>
  <c r="J5" i="2"/>
  <c r="J6" i="2"/>
  <c r="J7" i="2"/>
  <c r="J8" i="2"/>
  <c r="K4" i="2"/>
  <c r="K5" i="2"/>
  <c r="K6" i="2"/>
  <c r="K7" i="2"/>
  <c r="K8" i="2"/>
  <c r="K9" i="2"/>
  <c r="L3" i="2"/>
  <c r="L4" i="2"/>
  <c r="L5" i="2"/>
  <c r="L6" i="2"/>
  <c r="L7" i="2"/>
  <c r="L8" i="2"/>
  <c r="L9" i="2"/>
  <c r="L2" i="2"/>
  <c r="J3" i="2" l="1"/>
  <c r="J2" i="2"/>
</calcChain>
</file>

<file path=xl/sharedStrings.xml><?xml version="1.0" encoding="utf-8"?>
<sst xmlns="http://schemas.openxmlformats.org/spreadsheetml/2006/main" count="172" uniqueCount="94">
  <si>
    <t>Score</t>
  </si>
  <si>
    <t>Risk level</t>
  </si>
  <si>
    <t>Sustainable flow</t>
  </si>
  <si>
    <t>Overuse</t>
  </si>
  <si>
    <t>High risk</t>
  </si>
  <si>
    <t>ELE</t>
  </si>
  <si>
    <t>European eel</t>
  </si>
  <si>
    <t>Anguilla anguilla</t>
  </si>
  <si>
    <t>MAC</t>
  </si>
  <si>
    <t>Atlantic mackerel</t>
  </si>
  <si>
    <t>Scomber scombrus</t>
  </si>
  <si>
    <t>SPR</t>
  </si>
  <si>
    <t>European sprat</t>
  </si>
  <si>
    <t>Sprattus sprattus</t>
  </si>
  <si>
    <t>WHB</t>
  </si>
  <si>
    <t>Blue whiting</t>
  </si>
  <si>
    <t>Micromesistius poutassou</t>
  </si>
  <si>
    <t>Sum of sum_revenue</t>
  </si>
  <si>
    <t>COD</t>
  </si>
  <si>
    <t>HER</t>
  </si>
  <si>
    <t>PLE</t>
  </si>
  <si>
    <t>SOL</t>
  </si>
  <si>
    <t>Common name</t>
  </si>
  <si>
    <t>Scientific name</t>
  </si>
  <si>
    <t>Percentage of overuse flow</t>
  </si>
  <si>
    <t>landing STECF (ton)</t>
  </si>
  <si>
    <t>Overuse_monetary</t>
  </si>
  <si>
    <t>Atlantic cod</t>
  </si>
  <si>
    <t>Gadus morhua</t>
  </si>
  <si>
    <t>Atlantic herring</t>
  </si>
  <si>
    <t>Clupea harengus</t>
  </si>
  <si>
    <t>European plaice</t>
  </si>
  <si>
    <t>Pleuronectes platessa</t>
  </si>
  <si>
    <t>Solea solea</t>
  </si>
  <si>
    <t>Turbot</t>
  </si>
  <si>
    <t>Common sole</t>
  </si>
  <si>
    <t>low risk</t>
  </si>
  <si>
    <t>Initial Score</t>
  </si>
  <si>
    <t>Intermediate risk</t>
  </si>
  <si>
    <t>Scophthalmus maximus</t>
  </si>
  <si>
    <t>TUR</t>
  </si>
  <si>
    <t>ANE</t>
  </si>
  <si>
    <t>ARA</t>
  </si>
  <si>
    <t>ARS</t>
  </si>
  <si>
    <t>DPS</t>
  </si>
  <si>
    <t>HKE</t>
  </si>
  <si>
    <t>MTS</t>
  </si>
  <si>
    <t>MUT</t>
  </si>
  <si>
    <t>PAC</t>
  </si>
  <si>
    <t>PIL</t>
  </si>
  <si>
    <t>European anchovy</t>
  </si>
  <si>
    <t>Engraulis encrasicolus</t>
  </si>
  <si>
    <t>Blue and red shrimp</t>
  </si>
  <si>
    <t>Aristeus antennatus</t>
  </si>
  <si>
    <t>Giant red shrimp</t>
  </si>
  <si>
    <t>Aristaeomorpha foliacea</t>
  </si>
  <si>
    <t>Deep-water rose shrimp</t>
  </si>
  <si>
    <t>Parapenaeus</t>
  </si>
  <si>
    <t>European hake</t>
  </si>
  <si>
    <t>Merluccius merluccius</t>
  </si>
  <si>
    <t>Spottail mantis squillid</t>
  </si>
  <si>
    <t>Squilla mantis</t>
  </si>
  <si>
    <t>Red mullet</t>
  </si>
  <si>
    <t>Mullus barbatus</t>
  </si>
  <si>
    <t>Common pandora</t>
  </si>
  <si>
    <t>Pagellus erythrinus</t>
  </si>
  <si>
    <t>European pilchard</t>
  </si>
  <si>
    <t>Sardina pilchardus</t>
  </si>
  <si>
    <t>Common soleSolea solea</t>
  </si>
  <si>
    <t>CAP</t>
  </si>
  <si>
    <t>Capelin</t>
  </si>
  <si>
    <t>Mallotus villosus</t>
  </si>
  <si>
    <t>Saithe</t>
  </si>
  <si>
    <t>Pollachius virens</t>
  </si>
  <si>
    <t>Golden redfish</t>
  </si>
  <si>
    <t>Sebastes norvegicus</t>
  </si>
  <si>
    <t>Sandeels</t>
  </si>
  <si>
    <t>Ammodytes spp</t>
  </si>
  <si>
    <t>SAN</t>
  </si>
  <si>
    <t>REG</t>
  </si>
  <si>
    <t>POK</t>
  </si>
  <si>
    <t>Low risk</t>
  </si>
  <si>
    <t>mon (1000)</t>
  </si>
  <si>
    <t>Sum of Overuse_tonnes</t>
  </si>
  <si>
    <t>Sum of Overuse_MONEY</t>
  </si>
  <si>
    <t>Sum of land_Tonnes</t>
  </si>
  <si>
    <t>Baltic Sea</t>
  </si>
  <si>
    <t>Black Sea</t>
  </si>
  <si>
    <t>Mediterranean Sea</t>
  </si>
  <si>
    <t>NEAO</t>
  </si>
  <si>
    <t>Fishing region</t>
  </si>
  <si>
    <t>Share</t>
  </si>
  <si>
    <t>Share monetary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</si>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</sst>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6">
    <xf numFmtId="0" fontId="0" fillId="0" borderId="0" xfId="0"/>
    <xf numFmtId="9" fontId="0" fillId="0" borderId="0" xfId="0" applyNumberFormat="1"/>
    <xf numFmtId="43" fontId="0" fillId="0" borderId="0" xfId="1" applyFont="1"/>
    <xf numFmtId="43" fontId="0" fillId="0" borderId="0" xfId="0" applyNumberFormat="1"/>
    <xf numFmtId="2" fontId="0" fillId="0" borderId="0" xfId="0" applyNumberFormat="1"/>
    <xf numFmtId="9" fontId="0" fillId="0" borderId="0" xfId="2" applyFont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88471F-D524-4B72-B8E0-1C5374B569F1}">
  <dimension ref="A1:M9"/>
  <sheetViews>
    <sheetView tabSelected="1" topLeftCell="C1" workbookViewId="0">
      <selection activeCell="L14" sqref="L14"/>
    </sheetView>
  </sheetViews>
  <sheetFormatPr defaultRowHeight="15" x14ac:dyDescent="0.25"/>
  <cols>
    <col min="1" max="1" width="6.5703125" bestFit="1" customWidth="1"/>
    <col min="2" max="2" width="20" bestFit="1" customWidth="1"/>
    <col min="3" max="3" width="14.5703125" bestFit="1" customWidth="1"/>
    <col min="4" max="4" width="14.7109375" bestFit="1" customWidth="1"/>
    <col min="5" max="5" width="5.85546875" bestFit="1" customWidth="1"/>
    <col min="6" max="6" width="5.85546875" customWidth="1"/>
    <col min="7" max="7" width="16.42578125" bestFit="1" customWidth="1"/>
    <col min="8" max="8" width="28.85546875" bestFit="1" customWidth="1"/>
    <col min="9" max="9" width="18.28515625" bestFit="1" customWidth="1"/>
    <col min="10" max="10" width="15.85546875" bestFit="1" customWidth="1"/>
    <col min="11" max="11" width="10.5703125" bestFit="1" customWidth="1"/>
    <col min="12" max="12" width="18.28515625" bestFit="1" customWidth="1"/>
    <col min="13" max="13" width="10.85546875" bestFit="1" customWidth="1"/>
  </cols>
  <sheetData>
    <row r="1" spans="1:13" x14ac:dyDescent="0.25">
      <c r="B1" t="s">
        <v>17</v>
      </c>
      <c r="C1" t="s">
        <v>22</v>
      </c>
      <c r="D1" t="s">
        <v>23</v>
      </c>
      <c r="E1" t="s">
        <v>37</v>
      </c>
      <c r="F1" t="s">
        <v>0</v>
      </c>
      <c r="G1" t="s">
        <v>1</v>
      </c>
      <c r="H1" t="s">
        <v>24</v>
      </c>
      <c r="I1" t="s">
        <v>25</v>
      </c>
      <c r="J1" t="s">
        <v>2</v>
      </c>
      <c r="K1" t="s">
        <v>3</v>
      </c>
      <c r="L1" t="s">
        <v>26</v>
      </c>
      <c r="M1" t="s">
        <v>82</v>
      </c>
    </row>
    <row r="2" spans="1:13" x14ac:dyDescent="0.25">
      <c r="A2" t="s">
        <v>18</v>
      </c>
      <c r="B2" s="2">
        <v>1485692.0873211122</v>
      </c>
      <c r="C2" t="s">
        <v>27</v>
      </c>
      <c r="D2" t="s">
        <v>28</v>
      </c>
      <c r="E2">
        <v>1.33</v>
      </c>
      <c r="F2">
        <v>1</v>
      </c>
      <c r="G2" t="s">
        <v>4</v>
      </c>
      <c r="H2" s="1">
        <v>0.9</v>
      </c>
      <c r="I2" s="2">
        <v>15645.390621099999</v>
      </c>
      <c r="J2" s="2">
        <f>I2-K2</f>
        <v>1564.5390621099996</v>
      </c>
      <c r="K2" s="3">
        <f>I2*H2</f>
        <v>14080.85155899</v>
      </c>
      <c r="L2" s="3">
        <f>H2*B2</f>
        <v>1337122.878589001</v>
      </c>
      <c r="M2" s="3">
        <f>L2/1000</f>
        <v>1337.1228785890009</v>
      </c>
    </row>
    <row r="3" spans="1:13" x14ac:dyDescent="0.25">
      <c r="A3" t="s">
        <v>5</v>
      </c>
      <c r="B3" s="2">
        <v>20104.688681372008</v>
      </c>
      <c r="C3" t="s">
        <v>6</v>
      </c>
      <c r="D3" t="s">
        <v>7</v>
      </c>
      <c r="E3">
        <v>1</v>
      </c>
      <c r="F3">
        <v>1</v>
      </c>
      <c r="G3" t="s">
        <v>4</v>
      </c>
      <c r="H3" s="1">
        <v>0.9</v>
      </c>
      <c r="I3" s="2">
        <v>276.95179999999999</v>
      </c>
      <c r="J3" s="2">
        <f>I3-K3</f>
        <v>27.695179999999993</v>
      </c>
      <c r="K3" s="3">
        <f>I3*H3</f>
        <v>249.25662</v>
      </c>
      <c r="L3" s="3">
        <f t="shared" ref="L3:L9" si="0">H3*B3</f>
        <v>18094.219813234809</v>
      </c>
      <c r="M3" s="3">
        <f t="shared" ref="M3:M9" si="1">L3/1000</f>
        <v>18.094219813234808</v>
      </c>
    </row>
    <row r="4" spans="1:13" x14ac:dyDescent="0.25">
      <c r="A4" t="s">
        <v>19</v>
      </c>
      <c r="B4" s="2">
        <v>23058341.971893832</v>
      </c>
      <c r="C4" t="s">
        <v>29</v>
      </c>
      <c r="D4" t="s">
        <v>30</v>
      </c>
      <c r="E4">
        <v>5.8</v>
      </c>
      <c r="F4">
        <v>6</v>
      </c>
      <c r="G4" t="s">
        <v>81</v>
      </c>
      <c r="H4" s="1">
        <v>0.2</v>
      </c>
      <c r="I4" s="2">
        <v>362206.42814710009</v>
      </c>
      <c r="J4" s="2">
        <f t="shared" ref="J4:J8" si="2">I4-K4</f>
        <v>289765.14251768007</v>
      </c>
      <c r="K4" s="3">
        <f t="shared" ref="K4:K9" si="3">I4*H4</f>
        <v>72441.285629420017</v>
      </c>
      <c r="L4" s="3">
        <f t="shared" si="0"/>
        <v>4611668.3943787664</v>
      </c>
      <c r="M4" s="3">
        <f t="shared" si="1"/>
        <v>4611.6683943787666</v>
      </c>
    </row>
    <row r="5" spans="1:13" x14ac:dyDescent="0.25">
      <c r="A5" t="s">
        <v>8</v>
      </c>
      <c r="B5" s="2">
        <v>354.35825953243244</v>
      </c>
      <c r="C5" t="s">
        <v>9</v>
      </c>
      <c r="D5" t="s">
        <v>10</v>
      </c>
      <c r="E5">
        <v>4.33</v>
      </c>
      <c r="F5">
        <v>4</v>
      </c>
      <c r="G5" t="s">
        <v>38</v>
      </c>
      <c r="H5" s="1">
        <v>0.4</v>
      </c>
      <c r="I5" s="2">
        <v>8.2788000000000004</v>
      </c>
      <c r="J5" s="2">
        <f t="shared" si="2"/>
        <v>4.9672800000000006</v>
      </c>
      <c r="K5" s="3">
        <f t="shared" si="3"/>
        <v>3.3115200000000002</v>
      </c>
      <c r="L5" s="3">
        <f t="shared" si="0"/>
        <v>141.74330381297298</v>
      </c>
      <c r="M5" s="3">
        <f t="shared" si="1"/>
        <v>0.14174330381297298</v>
      </c>
    </row>
    <row r="6" spans="1:13" x14ac:dyDescent="0.25">
      <c r="A6" t="s">
        <v>20</v>
      </c>
      <c r="B6" s="2">
        <v>244343.37968925541</v>
      </c>
      <c r="C6" t="s">
        <v>31</v>
      </c>
      <c r="D6" t="s">
        <v>32</v>
      </c>
      <c r="E6">
        <v>4.6900000000000004</v>
      </c>
      <c r="F6">
        <v>5</v>
      </c>
      <c r="G6" t="s">
        <v>38</v>
      </c>
      <c r="H6" s="1">
        <v>0.3</v>
      </c>
      <c r="I6" s="2">
        <v>1652.0247714000002</v>
      </c>
      <c r="J6" s="2">
        <f t="shared" si="2"/>
        <v>1156.4173399800002</v>
      </c>
      <c r="K6" s="3">
        <f t="shared" si="3"/>
        <v>495.60743142000001</v>
      </c>
      <c r="L6" s="3">
        <f t="shared" si="0"/>
        <v>73303.013906776614</v>
      </c>
      <c r="M6" s="3">
        <f t="shared" si="1"/>
        <v>73.303013906776613</v>
      </c>
    </row>
    <row r="7" spans="1:13" x14ac:dyDescent="0.25">
      <c r="A7" t="s">
        <v>21</v>
      </c>
      <c r="B7" s="2">
        <v>6.0692116296901677</v>
      </c>
      <c r="C7" t="s">
        <v>35</v>
      </c>
      <c r="D7" t="s">
        <v>33</v>
      </c>
      <c r="E7">
        <v>5.33</v>
      </c>
      <c r="F7">
        <v>5</v>
      </c>
      <c r="G7" t="s">
        <v>38</v>
      </c>
      <c r="H7" s="1">
        <v>0.3</v>
      </c>
      <c r="I7" s="2">
        <v>9.4526300000000008E-2</v>
      </c>
      <c r="J7" s="2">
        <f t="shared" si="2"/>
        <v>6.6168410000000011E-2</v>
      </c>
      <c r="K7" s="3">
        <f t="shared" si="3"/>
        <v>2.835789E-2</v>
      </c>
      <c r="L7" s="3">
        <f t="shared" si="0"/>
        <v>1.8207634889070503</v>
      </c>
      <c r="M7" s="3">
        <f t="shared" si="1"/>
        <v>1.8207634889070502E-3</v>
      </c>
    </row>
    <row r="8" spans="1:13" x14ac:dyDescent="0.25">
      <c r="A8" t="s">
        <v>11</v>
      </c>
      <c r="B8" s="2">
        <v>17012294.381662175</v>
      </c>
      <c r="C8" t="s">
        <v>12</v>
      </c>
      <c r="D8" t="s">
        <v>13</v>
      </c>
      <c r="E8">
        <v>6</v>
      </c>
      <c r="F8">
        <v>6</v>
      </c>
      <c r="G8" t="s">
        <v>81</v>
      </c>
      <c r="H8" s="1">
        <v>0.2</v>
      </c>
      <c r="I8" s="2">
        <v>262890.8634881</v>
      </c>
      <c r="J8" s="2">
        <f t="shared" si="2"/>
        <v>210312.69079048</v>
      </c>
      <c r="K8" s="3">
        <f t="shared" si="3"/>
        <v>52578.172697620001</v>
      </c>
      <c r="L8" s="3">
        <f t="shared" si="0"/>
        <v>3402458.8763324353</v>
      </c>
      <c r="M8" s="3">
        <f t="shared" si="1"/>
        <v>3402.4588763324355</v>
      </c>
    </row>
    <row r="9" spans="1:13" x14ac:dyDescent="0.25">
      <c r="A9" t="s">
        <v>14</v>
      </c>
      <c r="B9" s="2">
        <v>6.4625257052265601</v>
      </c>
      <c r="C9" t="s">
        <v>15</v>
      </c>
      <c r="D9" t="s">
        <v>16</v>
      </c>
      <c r="E9">
        <v>6</v>
      </c>
      <c r="F9">
        <v>6</v>
      </c>
      <c r="G9" t="s">
        <v>81</v>
      </c>
      <c r="H9" s="1">
        <v>0.2</v>
      </c>
      <c r="I9" s="2">
        <v>0.14000000000000001</v>
      </c>
      <c r="J9" s="2">
        <f>I9-K9</f>
        <v>0.11200000000000002</v>
      </c>
      <c r="K9" s="3">
        <f t="shared" si="3"/>
        <v>2.8000000000000004E-2</v>
      </c>
      <c r="L9" s="3">
        <f t="shared" si="0"/>
        <v>1.2925051410453121</v>
      </c>
      <c r="M9" s="3">
        <f t="shared" si="1"/>
        <v>1.2925051410453121E-3</v>
      </c>
    </row>
  </sheetData>
  <pageMargins left="0.7" right="0.7" top="0.75" bottom="0.75" header="0.3" footer="0.3"/>
  <pageSetup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8B8FE1-7DF3-4089-9E77-6BBA546904EE}">
  <dimension ref="A1:G6"/>
  <sheetViews>
    <sheetView workbookViewId="0">
      <selection activeCell="D13" sqref="D13"/>
    </sheetView>
  </sheetViews>
  <sheetFormatPr defaultRowHeight="15" x14ac:dyDescent="0.25"/>
  <cols>
    <col min="1" max="1" width="16.85546875" bestFit="1" customWidth="1"/>
    <col min="2" max="2" width="20.85546875" bestFit="1" customWidth="1"/>
    <col min="3" max="3" width="21.5703125" bestFit="1" customWidth="1"/>
    <col min="4" max="4" width="18" bestFit="1" customWidth="1"/>
    <col min="5" max="5" width="18.5703125" bestFit="1" customWidth="1"/>
  </cols>
  <sheetData>
    <row r="1" spans="1:7" x14ac:dyDescent="0.25">
      <c r="A1" t="s">
        <v>90</v>
      </c>
      <c r="B1" t="s">
        <v>83</v>
      </c>
      <c r="C1" t="s">
        <v>84</v>
      </c>
      <c r="D1" t="s">
        <v>85</v>
      </c>
      <c r="E1" t="s">
        <v>17</v>
      </c>
      <c r="F1" t="s">
        <v>91</v>
      </c>
      <c r="G1" t="s">
        <v>92</v>
      </c>
    </row>
    <row r="2" spans="1:7" x14ac:dyDescent="0.25">
      <c r="A2" t="s">
        <v>86</v>
      </c>
      <c r="B2" s="2">
        <v>139848.54181533994</v>
      </c>
      <c r="C2" s="2">
        <v>9442792.2395926658</v>
      </c>
      <c r="D2" s="2">
        <v>642680.17215400038</v>
      </c>
      <c r="E2" s="2">
        <v>41821143.399244621</v>
      </c>
      <c r="F2" s="5">
        <f>B2/D2</f>
        <v>0.21760207934628661</v>
      </c>
      <c r="G2" s="5">
        <f>C2/E2</f>
        <v>0.22578991084598665</v>
      </c>
    </row>
    <row r="3" spans="1:7" x14ac:dyDescent="0.25">
      <c r="A3" t="s">
        <v>87</v>
      </c>
      <c r="B3" s="2">
        <v>79.143768200000011</v>
      </c>
      <c r="C3" s="2">
        <v>19883.012753861211</v>
      </c>
      <c r="D3" s="2">
        <v>113.06252599999999</v>
      </c>
      <c r="E3" s="2">
        <v>28404.3039340875</v>
      </c>
      <c r="F3" s="5">
        <f t="shared" ref="F3:F5" si="0">B3/D3</f>
        <v>0.70000000000000018</v>
      </c>
      <c r="G3" s="5">
        <f t="shared" ref="G3:G5" si="1">C3/E3</f>
        <v>0.69999999999999862</v>
      </c>
    </row>
    <row r="4" spans="1:7" x14ac:dyDescent="0.25">
      <c r="A4" t="s">
        <v>88</v>
      </c>
      <c r="B4" s="2">
        <v>189086.30616231004</v>
      </c>
      <c r="C4" s="2">
        <v>113408656.11148638</v>
      </c>
      <c r="D4" s="2">
        <v>244926.08942629991</v>
      </c>
      <c r="E4" s="2">
        <v>153381610.36714604</v>
      </c>
      <c r="F4" s="5">
        <f t="shared" si="0"/>
        <v>0.77201373934975404</v>
      </c>
      <c r="G4" s="5">
        <f t="shared" si="1"/>
        <v>0.73938887354241933</v>
      </c>
    </row>
    <row r="5" spans="1:7" x14ac:dyDescent="0.25">
      <c r="A5" t="s">
        <v>89</v>
      </c>
      <c r="B5" s="2">
        <v>773592.48252130032</v>
      </c>
      <c r="C5" s="2">
        <v>97205348.127241001</v>
      </c>
      <c r="D5" s="2">
        <v>1512342.7324181008</v>
      </c>
      <c r="E5" s="2">
        <v>185882350.76774564</v>
      </c>
      <c r="F5" s="5">
        <f t="shared" si="0"/>
        <v>0.51151929118897221</v>
      </c>
      <c r="G5" s="5">
        <f t="shared" si="1"/>
        <v>0.52294017009014548</v>
      </c>
    </row>
    <row r="6" spans="1:7" x14ac:dyDescent="0.25">
      <c r="A6" t="s">
        <v>93</v>
      </c>
      <c r="B6" s="2">
        <f>SUM(B2:B5)</f>
        <v>1102606.4742671503</v>
      </c>
      <c r="C6" s="2">
        <f t="shared" ref="C6:E6" si="2">SUM(C2:C5)</f>
        <v>220076679.49107391</v>
      </c>
      <c r="D6" s="2">
        <f t="shared" si="2"/>
        <v>2400062.0565244011</v>
      </c>
      <c r="E6" s="2">
        <f t="shared" si="2"/>
        <v>381113508.83807039</v>
      </c>
      <c r="F6" s="5">
        <f t="shared" ref="F6" si="3">B6/D6</f>
        <v>0.45940748543138354</v>
      </c>
      <c r="G6" s="5">
        <f t="shared" ref="G6" si="4">C6/E6</f>
        <v>0.57745704202938997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FDDB46-0DA5-467E-AE70-8A29300A6FCA}">
  <dimension ref="A1:L2"/>
  <sheetViews>
    <sheetView topLeftCell="E1" workbookViewId="0">
      <selection activeCell="L2" sqref="L2"/>
    </sheetView>
  </sheetViews>
  <sheetFormatPr defaultRowHeight="15" x14ac:dyDescent="0.25"/>
  <cols>
    <col min="2" max="2" width="20" bestFit="1" customWidth="1"/>
    <col min="4" max="4" width="22.28515625" bestFit="1" customWidth="1"/>
    <col min="9" max="9" width="18.28515625" bestFit="1" customWidth="1"/>
    <col min="10" max="10" width="15.140625" bestFit="1" customWidth="1"/>
    <col min="11" max="11" width="8" bestFit="1" customWidth="1"/>
    <col min="12" max="12" width="18.28515625" bestFit="1" customWidth="1"/>
  </cols>
  <sheetData>
    <row r="1" spans="1:12" x14ac:dyDescent="0.25">
      <c r="B1" t="s">
        <v>17</v>
      </c>
      <c r="C1" t="s">
        <v>22</v>
      </c>
      <c r="D1" t="s">
        <v>23</v>
      </c>
      <c r="E1" t="s">
        <v>37</v>
      </c>
      <c r="F1" t="s">
        <v>0</v>
      </c>
      <c r="G1" t="s">
        <v>1</v>
      </c>
      <c r="H1" t="s">
        <v>24</v>
      </c>
      <c r="I1" t="s">
        <v>25</v>
      </c>
      <c r="J1" t="s">
        <v>2</v>
      </c>
      <c r="K1" t="s">
        <v>3</v>
      </c>
      <c r="L1" t="s">
        <v>26</v>
      </c>
    </row>
    <row r="2" spans="1:12" x14ac:dyDescent="0.25">
      <c r="A2" t="s">
        <v>40</v>
      </c>
      <c r="B2" s="4">
        <v>28404.3039340875</v>
      </c>
      <c r="C2" t="s">
        <v>34</v>
      </c>
      <c r="D2" t="s">
        <v>39</v>
      </c>
      <c r="E2">
        <v>2</v>
      </c>
      <c r="F2">
        <v>2</v>
      </c>
      <c r="G2" t="s">
        <v>4</v>
      </c>
      <c r="H2" s="1">
        <v>0.7</v>
      </c>
      <c r="I2" s="4">
        <v>113.06252599999999</v>
      </c>
      <c r="J2" s="4">
        <f>I2-K2</f>
        <v>33.918757800000009</v>
      </c>
      <c r="K2" s="4">
        <f>I2*H2</f>
        <v>79.143768199999982</v>
      </c>
      <c r="L2" s="4">
        <f>H2*B2</f>
        <v>19883.012753861251</v>
      </c>
    </row>
  </sheetData>
  <pageMargins left="0.7" right="0.7" top="0.75" bottom="0.75" header="0.3" footer="0.3"/>
  <pageSetup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A91D98-C119-44A8-A0C4-4C29DFB715AD}">
  <dimension ref="A1:L11"/>
  <sheetViews>
    <sheetView workbookViewId="0">
      <selection activeCell="C19" sqref="C19"/>
    </sheetView>
  </sheetViews>
  <sheetFormatPr defaultRowHeight="15" x14ac:dyDescent="0.25"/>
  <cols>
    <col min="2" max="2" width="14.28515625" bestFit="1" customWidth="1"/>
    <col min="3" max="3" width="23.5703125" bestFit="1" customWidth="1"/>
    <col min="4" max="4" width="23.140625" bestFit="1" customWidth="1"/>
    <col min="7" max="7" width="15.140625" bestFit="1" customWidth="1"/>
    <col min="9" max="9" width="10.5703125" bestFit="1" customWidth="1"/>
    <col min="10" max="10" width="14.5703125" bestFit="1" customWidth="1"/>
    <col min="11" max="11" width="12.42578125" bestFit="1" customWidth="1"/>
    <col min="12" max="12" width="18.42578125" bestFit="1" customWidth="1"/>
  </cols>
  <sheetData>
    <row r="1" spans="1:12" x14ac:dyDescent="0.25">
      <c r="B1" t="s">
        <v>17</v>
      </c>
      <c r="C1" t="s">
        <v>22</v>
      </c>
      <c r="D1" t="s">
        <v>23</v>
      </c>
      <c r="E1" t="s">
        <v>37</v>
      </c>
      <c r="F1" t="s">
        <v>0</v>
      </c>
      <c r="G1" t="s">
        <v>1</v>
      </c>
      <c r="H1" t="s">
        <v>24</v>
      </c>
      <c r="I1" t="s">
        <v>25</v>
      </c>
      <c r="J1" t="s">
        <v>2</v>
      </c>
      <c r="K1" t="s">
        <v>3</v>
      </c>
      <c r="L1" t="s">
        <v>26</v>
      </c>
    </row>
    <row r="2" spans="1:12" x14ac:dyDescent="0.25">
      <c r="A2" t="s">
        <v>41</v>
      </c>
      <c r="B2" s="2">
        <v>48553851.634017743</v>
      </c>
      <c r="C2" t="s">
        <v>50</v>
      </c>
      <c r="D2" t="s">
        <v>51</v>
      </c>
      <c r="E2">
        <v>1.94</v>
      </c>
      <c r="F2">
        <v>2</v>
      </c>
      <c r="G2" t="s">
        <v>4</v>
      </c>
      <c r="H2">
        <v>0.7</v>
      </c>
      <c r="I2" s="2">
        <v>89380.723746100004</v>
      </c>
      <c r="J2" s="2">
        <f>I2-K2</f>
        <v>26814.217123830007</v>
      </c>
      <c r="K2" s="2">
        <f>I2*H2</f>
        <v>62566.506622269997</v>
      </c>
      <c r="L2" s="2">
        <f>H2*B2</f>
        <v>33987696.143812418</v>
      </c>
    </row>
    <row r="3" spans="1:12" x14ac:dyDescent="0.25">
      <c r="A3" t="s">
        <v>42</v>
      </c>
      <c r="B3" s="2">
        <v>2460532.3510410455</v>
      </c>
      <c r="C3" t="s">
        <v>52</v>
      </c>
      <c r="D3" t="s">
        <v>53</v>
      </c>
      <c r="E3">
        <v>0.67</v>
      </c>
      <c r="F3">
        <v>1</v>
      </c>
      <c r="G3" t="s">
        <v>4</v>
      </c>
      <c r="H3">
        <v>0.9</v>
      </c>
      <c r="I3" s="2">
        <v>3349.4792176999995</v>
      </c>
      <c r="J3" s="2">
        <f t="shared" ref="J3:J11" si="0">I3-K3</f>
        <v>334.94792176999999</v>
      </c>
      <c r="K3" s="2">
        <f t="shared" ref="K3:K11" si="1">I3*H3</f>
        <v>3014.5312959299995</v>
      </c>
      <c r="L3" s="2">
        <f t="shared" ref="L3:L11" si="2">H3*B3</f>
        <v>2214479.115936941</v>
      </c>
    </row>
    <row r="4" spans="1:12" x14ac:dyDescent="0.25">
      <c r="A4" t="s">
        <v>43</v>
      </c>
      <c r="B4" s="2">
        <v>3743746.8699714248</v>
      </c>
      <c r="C4" t="s">
        <v>54</v>
      </c>
      <c r="D4" t="s">
        <v>55</v>
      </c>
      <c r="E4">
        <v>1.33</v>
      </c>
      <c r="F4">
        <v>1</v>
      </c>
      <c r="G4" t="s">
        <v>4</v>
      </c>
      <c r="H4">
        <v>0.9</v>
      </c>
      <c r="I4" s="2">
        <v>2626.8618522999996</v>
      </c>
      <c r="J4" s="2">
        <f t="shared" si="0"/>
        <v>262.68618522999986</v>
      </c>
      <c r="K4" s="2">
        <f t="shared" si="1"/>
        <v>2364.1756670699997</v>
      </c>
      <c r="L4" s="2">
        <f t="shared" si="2"/>
        <v>3369372.1829742822</v>
      </c>
    </row>
    <row r="5" spans="1:12" x14ac:dyDescent="0.25">
      <c r="A5" t="s">
        <v>44</v>
      </c>
      <c r="B5" s="2">
        <v>18832574.700592373</v>
      </c>
      <c r="C5" t="s">
        <v>56</v>
      </c>
      <c r="D5" t="s">
        <v>57</v>
      </c>
      <c r="E5">
        <v>1.88</v>
      </c>
      <c r="F5">
        <v>2</v>
      </c>
      <c r="G5" t="s">
        <v>4</v>
      </c>
      <c r="H5">
        <v>0.7</v>
      </c>
      <c r="I5" s="2">
        <v>14264.604357700002</v>
      </c>
      <c r="J5" s="2">
        <f t="shared" si="0"/>
        <v>4279.3813073100009</v>
      </c>
      <c r="K5" s="2">
        <f t="shared" si="1"/>
        <v>9985.2230503900009</v>
      </c>
      <c r="L5" s="2">
        <f t="shared" si="2"/>
        <v>13182802.290414659</v>
      </c>
    </row>
    <row r="6" spans="1:12" x14ac:dyDescent="0.25">
      <c r="A6" t="s">
        <v>45</v>
      </c>
      <c r="B6" s="2">
        <v>16763613.266360275</v>
      </c>
      <c r="C6" t="s">
        <v>58</v>
      </c>
      <c r="D6" t="s">
        <v>59</v>
      </c>
      <c r="E6">
        <v>1.97</v>
      </c>
      <c r="F6">
        <v>2</v>
      </c>
      <c r="G6" t="s">
        <v>4</v>
      </c>
      <c r="H6">
        <v>0.7</v>
      </c>
      <c r="I6" s="2">
        <v>17123.532870499999</v>
      </c>
      <c r="J6" s="2">
        <f t="shared" si="0"/>
        <v>5137.0598611500009</v>
      </c>
      <c r="K6" s="2">
        <f t="shared" si="1"/>
        <v>11986.473009349998</v>
      </c>
      <c r="L6" s="2">
        <f t="shared" si="2"/>
        <v>11734529.286452193</v>
      </c>
    </row>
    <row r="7" spans="1:12" x14ac:dyDescent="0.25">
      <c r="A7" t="s">
        <v>46</v>
      </c>
      <c r="B7" s="2">
        <v>7703629.4112366643</v>
      </c>
      <c r="C7" t="s">
        <v>60</v>
      </c>
      <c r="D7" t="s">
        <v>61</v>
      </c>
      <c r="E7">
        <v>1.6</v>
      </c>
      <c r="F7">
        <v>2</v>
      </c>
      <c r="G7" t="s">
        <v>4</v>
      </c>
      <c r="H7">
        <v>0.7</v>
      </c>
      <c r="I7" s="2">
        <v>6101.2064600000003</v>
      </c>
      <c r="J7" s="2">
        <f t="shared" si="0"/>
        <v>1830.361938</v>
      </c>
      <c r="K7" s="2">
        <f t="shared" si="1"/>
        <v>4270.8445220000003</v>
      </c>
      <c r="L7" s="2">
        <f t="shared" si="2"/>
        <v>5392540.5878656646</v>
      </c>
    </row>
    <row r="8" spans="1:12" x14ac:dyDescent="0.25">
      <c r="A8" t="s">
        <v>47</v>
      </c>
      <c r="B8" s="2">
        <v>12528118.833007395</v>
      </c>
      <c r="C8" t="s">
        <v>62</v>
      </c>
      <c r="D8" t="s">
        <v>63</v>
      </c>
      <c r="E8">
        <v>3.67</v>
      </c>
      <c r="F8">
        <v>4</v>
      </c>
      <c r="G8" t="s">
        <v>38</v>
      </c>
      <c r="H8">
        <v>0.4</v>
      </c>
      <c r="I8" s="2">
        <v>11946.321668999999</v>
      </c>
      <c r="J8" s="2">
        <f t="shared" si="0"/>
        <v>7167.7930013999994</v>
      </c>
      <c r="K8" s="2">
        <f t="shared" si="1"/>
        <v>4778.5286675999996</v>
      </c>
      <c r="L8" s="2">
        <f t="shared" si="2"/>
        <v>5011247.5332029583</v>
      </c>
    </row>
    <row r="9" spans="1:12" x14ac:dyDescent="0.25">
      <c r="A9" t="s">
        <v>48</v>
      </c>
      <c r="B9" s="2">
        <v>2399091.0712022334</v>
      </c>
      <c r="C9" t="s">
        <v>64</v>
      </c>
      <c r="D9" t="s">
        <v>65</v>
      </c>
      <c r="E9">
        <v>7.0000000000000007E-2</v>
      </c>
      <c r="F9">
        <v>0</v>
      </c>
      <c r="I9" s="2">
        <v>3029.6772870999998</v>
      </c>
      <c r="J9" s="2">
        <f t="shared" si="0"/>
        <v>3029.6772870999998</v>
      </c>
      <c r="K9" s="2">
        <f t="shared" si="1"/>
        <v>0</v>
      </c>
      <c r="L9" s="2">
        <f t="shared" si="2"/>
        <v>0</v>
      </c>
    </row>
    <row r="10" spans="1:12" x14ac:dyDescent="0.25">
      <c r="A10" t="s">
        <v>49</v>
      </c>
      <c r="B10" s="2">
        <v>39243852.046555042</v>
      </c>
      <c r="C10" t="s">
        <v>66</v>
      </c>
      <c r="D10" t="s">
        <v>67</v>
      </c>
      <c r="E10">
        <v>1.31</v>
      </c>
      <c r="F10">
        <v>1</v>
      </c>
      <c r="G10" t="s">
        <v>4</v>
      </c>
      <c r="H10">
        <v>0.9</v>
      </c>
      <c r="I10" s="2">
        <v>96987.153450499987</v>
      </c>
      <c r="J10" s="2">
        <f t="shared" si="0"/>
        <v>9698.71534504999</v>
      </c>
      <c r="K10" s="2">
        <f t="shared" si="1"/>
        <v>87288.438105449997</v>
      </c>
      <c r="L10" s="2">
        <f t="shared" si="2"/>
        <v>35319466.841899537</v>
      </c>
    </row>
    <row r="11" spans="1:12" x14ac:dyDescent="0.25">
      <c r="A11" t="s">
        <v>21</v>
      </c>
      <c r="B11" s="2">
        <v>3551691.2543640919</v>
      </c>
      <c r="C11" t="s">
        <v>68</v>
      </c>
      <c r="D11" t="s">
        <v>33</v>
      </c>
      <c r="E11">
        <v>0.92</v>
      </c>
      <c r="F11">
        <v>1</v>
      </c>
      <c r="G11" t="s">
        <v>4</v>
      </c>
      <c r="H11">
        <v>0.9</v>
      </c>
      <c r="I11" s="2">
        <v>3146.2058024999997</v>
      </c>
      <c r="J11" s="2">
        <f t="shared" si="0"/>
        <v>314.62058024999988</v>
      </c>
      <c r="K11" s="2">
        <f t="shared" si="1"/>
        <v>2831.5852222499998</v>
      </c>
      <c r="L11" s="2">
        <f t="shared" si="2"/>
        <v>3196522.128927683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4742A9-C400-4F03-B604-573DD53CB881}">
  <dimension ref="A1:L11"/>
  <sheetViews>
    <sheetView workbookViewId="0">
      <selection activeCell="I8" sqref="I8"/>
    </sheetView>
  </sheetViews>
  <sheetFormatPr defaultRowHeight="15" x14ac:dyDescent="0.25"/>
  <cols>
    <col min="2" max="2" width="18.5703125" bestFit="1" customWidth="1"/>
    <col min="3" max="3" width="13.7109375" bestFit="1" customWidth="1"/>
    <col min="4" max="4" width="22.85546875" bestFit="1" customWidth="1"/>
    <col min="9" max="9" width="18.28515625" bestFit="1" customWidth="1"/>
    <col min="11" max="11" width="11.140625" bestFit="1" customWidth="1"/>
    <col min="12" max="12" width="17.140625" bestFit="1" customWidth="1"/>
  </cols>
  <sheetData>
    <row r="1" spans="1:12" x14ac:dyDescent="0.25">
      <c r="B1" t="s">
        <v>17</v>
      </c>
      <c r="C1" t="s">
        <v>22</v>
      </c>
      <c r="D1" t="s">
        <v>23</v>
      </c>
      <c r="E1" t="s">
        <v>37</v>
      </c>
      <c r="F1" t="s">
        <v>0</v>
      </c>
      <c r="G1" t="s">
        <v>1</v>
      </c>
      <c r="H1" t="s">
        <v>24</v>
      </c>
      <c r="I1" t="s">
        <v>25</v>
      </c>
      <c r="J1" t="s">
        <v>2</v>
      </c>
      <c r="K1" t="s">
        <v>3</v>
      </c>
      <c r="L1" t="s">
        <v>26</v>
      </c>
    </row>
    <row r="2" spans="1:12" x14ac:dyDescent="0.25">
      <c r="A2" t="s">
        <v>69</v>
      </c>
      <c r="B2">
        <v>522.22954879475071</v>
      </c>
      <c r="C2" t="s">
        <v>70</v>
      </c>
      <c r="D2" t="s">
        <v>71</v>
      </c>
      <c r="E2">
        <v>1.54</v>
      </c>
      <c r="F2">
        <v>2</v>
      </c>
      <c r="G2" t="s">
        <v>4</v>
      </c>
      <c r="H2">
        <v>0.7</v>
      </c>
      <c r="I2" s="2">
        <v>1.3855599999999999</v>
      </c>
      <c r="J2">
        <f>I2-K2</f>
        <v>0.41566800000000004</v>
      </c>
      <c r="K2" s="2">
        <f>I2*H2</f>
        <v>0.96989199999999987</v>
      </c>
      <c r="L2" s="2">
        <f>B2*H2</f>
        <v>365.56068415632546</v>
      </c>
    </row>
    <row r="3" spans="1:12" x14ac:dyDescent="0.25">
      <c r="A3" t="s">
        <v>18</v>
      </c>
      <c r="B3">
        <v>10947933.381944645</v>
      </c>
      <c r="C3" t="s">
        <v>27</v>
      </c>
      <c r="D3" t="s">
        <v>28</v>
      </c>
      <c r="E3">
        <v>2.42</v>
      </c>
      <c r="F3">
        <v>2</v>
      </c>
      <c r="G3" t="s">
        <v>4</v>
      </c>
      <c r="H3">
        <v>0.7</v>
      </c>
      <c r="I3" s="2">
        <v>56216.051220399982</v>
      </c>
      <c r="J3">
        <f t="shared" ref="J3:J11" si="0">I3-K3</f>
        <v>16864.815366119998</v>
      </c>
      <c r="K3" s="2">
        <f t="shared" ref="K3:K11" si="1">I3*H3</f>
        <v>39351.235854279985</v>
      </c>
      <c r="L3" s="2">
        <f t="shared" ref="L3:L11" si="2">B3*H3</f>
        <v>7663553.3673612513</v>
      </c>
    </row>
    <row r="4" spans="1:12" x14ac:dyDescent="0.25">
      <c r="A4" t="s">
        <v>19</v>
      </c>
      <c r="B4">
        <v>35547285.887341134</v>
      </c>
      <c r="C4" t="s">
        <v>29</v>
      </c>
      <c r="D4" t="s">
        <v>30</v>
      </c>
      <c r="E4">
        <v>3.64</v>
      </c>
      <c r="F4">
        <v>4</v>
      </c>
      <c r="G4" t="s">
        <v>38</v>
      </c>
      <c r="H4">
        <v>0.4</v>
      </c>
      <c r="I4" s="2">
        <v>400738.71428870002</v>
      </c>
      <c r="J4">
        <f t="shared" si="0"/>
        <v>240443.22857322</v>
      </c>
      <c r="K4" s="2">
        <f t="shared" si="1"/>
        <v>160295.48571548003</v>
      </c>
      <c r="L4" s="2">
        <f t="shared" si="2"/>
        <v>14218914.354936454</v>
      </c>
    </row>
    <row r="5" spans="1:12" x14ac:dyDescent="0.25">
      <c r="A5" t="s">
        <v>8</v>
      </c>
      <c r="B5">
        <v>44957694.179403163</v>
      </c>
      <c r="C5" t="s">
        <v>9</v>
      </c>
      <c r="D5" t="s">
        <v>10</v>
      </c>
      <c r="E5">
        <v>4</v>
      </c>
      <c r="F5">
        <v>4</v>
      </c>
      <c r="G5" t="s">
        <v>38</v>
      </c>
      <c r="H5">
        <v>0.4</v>
      </c>
      <c r="I5" s="2">
        <v>210828.89048620002</v>
      </c>
      <c r="J5">
        <f t="shared" si="0"/>
        <v>126497.33429172001</v>
      </c>
      <c r="K5" s="2">
        <f t="shared" si="1"/>
        <v>84331.556194480014</v>
      </c>
      <c r="L5" s="2">
        <f t="shared" si="2"/>
        <v>17983077.671761267</v>
      </c>
    </row>
    <row r="6" spans="1:12" x14ac:dyDescent="0.25">
      <c r="A6" t="s">
        <v>49</v>
      </c>
      <c r="B6">
        <v>7166884.8779713335</v>
      </c>
      <c r="C6" t="s">
        <v>66</v>
      </c>
      <c r="D6" t="s">
        <v>67</v>
      </c>
      <c r="E6">
        <v>0.71</v>
      </c>
      <c r="F6">
        <v>1</v>
      </c>
      <c r="G6" t="s">
        <v>4</v>
      </c>
      <c r="H6">
        <v>0.9</v>
      </c>
      <c r="I6" s="2">
        <v>56641.206091499997</v>
      </c>
      <c r="J6">
        <f t="shared" si="0"/>
        <v>5664.1206091499989</v>
      </c>
      <c r="K6" s="2">
        <f t="shared" si="1"/>
        <v>50977.085482349998</v>
      </c>
      <c r="L6" s="2">
        <f t="shared" si="2"/>
        <v>6450196.3901741998</v>
      </c>
    </row>
    <row r="7" spans="1:12" x14ac:dyDescent="0.25">
      <c r="A7" t="s">
        <v>80</v>
      </c>
      <c r="B7">
        <v>2082022.5314533021</v>
      </c>
      <c r="C7" t="s">
        <v>72</v>
      </c>
      <c r="D7" t="s">
        <v>73</v>
      </c>
      <c r="E7">
        <v>3.56</v>
      </c>
      <c r="F7">
        <v>4</v>
      </c>
      <c r="G7" t="s">
        <v>38</v>
      </c>
      <c r="H7">
        <v>0.4</v>
      </c>
      <c r="I7" s="2">
        <v>36325.571711900011</v>
      </c>
      <c r="J7">
        <f t="shared" si="0"/>
        <v>21795.343027140007</v>
      </c>
      <c r="K7" s="2">
        <f t="shared" si="1"/>
        <v>14530.228684760004</v>
      </c>
      <c r="L7" s="2">
        <f t="shared" si="2"/>
        <v>832809.01258132095</v>
      </c>
    </row>
    <row r="8" spans="1:12" x14ac:dyDescent="0.25">
      <c r="A8" t="s">
        <v>79</v>
      </c>
      <c r="B8">
        <v>100139.1240059726</v>
      </c>
      <c r="C8" t="s">
        <v>74</v>
      </c>
      <c r="D8" t="s">
        <v>75</v>
      </c>
      <c r="E8">
        <v>2.29</v>
      </c>
      <c r="F8">
        <v>2</v>
      </c>
      <c r="G8" t="s">
        <v>4</v>
      </c>
      <c r="H8">
        <v>0.7</v>
      </c>
      <c r="I8" s="2">
        <v>734.63809000000015</v>
      </c>
      <c r="J8">
        <f t="shared" si="0"/>
        <v>220.39142700000002</v>
      </c>
      <c r="K8" s="2">
        <f t="shared" si="1"/>
        <v>514.24666300000013</v>
      </c>
      <c r="L8" s="2">
        <f t="shared" si="2"/>
        <v>70097.386804180816</v>
      </c>
    </row>
    <row r="9" spans="1:12" x14ac:dyDescent="0.25">
      <c r="A9" t="s">
        <v>78</v>
      </c>
      <c r="B9">
        <v>23754292.916915603</v>
      </c>
      <c r="C9" t="s">
        <v>76</v>
      </c>
      <c r="D9" t="s">
        <v>77</v>
      </c>
      <c r="E9">
        <v>1.23</v>
      </c>
      <c r="F9">
        <v>1</v>
      </c>
      <c r="G9" t="s">
        <v>4</v>
      </c>
      <c r="H9">
        <v>0.9</v>
      </c>
      <c r="I9" s="2">
        <v>200389.0202611</v>
      </c>
      <c r="J9">
        <f t="shared" si="0"/>
        <v>20038.902026110009</v>
      </c>
      <c r="K9" s="2">
        <f t="shared" si="1"/>
        <v>180350.11823498999</v>
      </c>
      <c r="L9" s="2">
        <f t="shared" si="2"/>
        <v>21378863.625224043</v>
      </c>
    </row>
    <row r="10" spans="1:12" x14ac:dyDescent="0.25">
      <c r="A10" t="s">
        <v>11</v>
      </c>
      <c r="B10">
        <v>23346222.328402497</v>
      </c>
      <c r="C10" t="s">
        <v>12</v>
      </c>
      <c r="D10" t="s">
        <v>13</v>
      </c>
      <c r="E10">
        <v>1.32</v>
      </c>
      <c r="F10">
        <v>1</v>
      </c>
      <c r="G10" t="s">
        <v>4</v>
      </c>
      <c r="H10">
        <v>0.9</v>
      </c>
      <c r="I10" s="2">
        <v>190211.578369</v>
      </c>
      <c r="J10">
        <f t="shared" si="0"/>
        <v>19021.157836900005</v>
      </c>
      <c r="K10" s="2">
        <f t="shared" si="1"/>
        <v>171190.42053209999</v>
      </c>
      <c r="L10" s="2">
        <f t="shared" si="2"/>
        <v>21011600.095562249</v>
      </c>
    </row>
    <row r="11" spans="1:12" x14ac:dyDescent="0.25">
      <c r="A11" t="s">
        <v>14</v>
      </c>
      <c r="B11">
        <v>37979353.310759328</v>
      </c>
      <c r="C11" t="s">
        <v>15</v>
      </c>
      <c r="D11" t="s">
        <v>16</v>
      </c>
      <c r="E11">
        <v>5.6</v>
      </c>
      <c r="F11">
        <v>6</v>
      </c>
      <c r="G11" t="s">
        <v>36</v>
      </c>
      <c r="H11">
        <v>0.2</v>
      </c>
      <c r="I11" s="2">
        <v>360255.67633929994</v>
      </c>
      <c r="J11">
        <f t="shared" si="0"/>
        <v>288204.54107143998</v>
      </c>
      <c r="K11" s="2">
        <f t="shared" si="1"/>
        <v>72051.135267859994</v>
      </c>
      <c r="L11" s="2">
        <f t="shared" si="2"/>
        <v>7595870.6621518657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FE926EFE35D674D9CD2F43177531D54" ma:contentTypeVersion="0" ma:contentTypeDescription="Create a new document." ma:contentTypeScope="" ma:versionID="af1b7cd8afbd291e67cc5ae9059c682f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4b795196365d0a2ba85bf44c386000f7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344AB47D-30F0-4C44-A26A-6473ECBC6E94}"/>
</file>

<file path=customXml/itemProps2.xml><?xml version="1.0" encoding="utf-8"?>
<ds:datastoreItem xmlns:ds="http://schemas.openxmlformats.org/officeDocument/2006/customXml" ds:itemID="{AC7939D1-3C31-400F-9DF0-0F2677E3298C}"/>
</file>

<file path=customXml/itemProps3.xml><?xml version="1.0" encoding="utf-8"?>
<ds:datastoreItem xmlns:ds="http://schemas.openxmlformats.org/officeDocument/2006/customXml" ds:itemID="{A406E2FE-B9AF-4823-983D-97AECBF8426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Baltic Sea</vt:lpstr>
      <vt:lpstr>Total</vt:lpstr>
      <vt:lpstr>Black Sea</vt:lpstr>
      <vt:lpstr>Med Sea</vt:lpstr>
      <vt:lpstr>NEAO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Domenico Pisani</dc:creator>
  <cp:lastModifiedBy>PISANI Domenico (JRC-ISPRA)</cp:lastModifiedBy>
  <dcterms:created xsi:type="dcterms:W3CDTF">2015-06-05T18:17:20Z</dcterms:created>
  <dcterms:modified xsi:type="dcterms:W3CDTF">2026-08-06T09:43:27Z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0x010100EFE926EFE35D674D9CD2F43177531D54</vt:lpwstr>
  </property>
</Properties>
</file>